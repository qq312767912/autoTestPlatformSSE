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c5ce261b9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方案" sheetId="1" r:id="Rb77125e0b5554bd8"/>
    <x:sheet xmlns:r="http://schemas.openxmlformats.org/officeDocument/2006/relationships" name="方案评价统计" sheetId="6" r:id="Rb1a26b6688d9495e"/>
    <x:sheet xmlns:r="http://schemas.openxmlformats.org/officeDocument/2006/relationships" name="方案人工评价" sheetId="5" r:id="R261196fdbeec4998"/>
    <x:sheet xmlns:r="http://schemas.openxmlformats.org/officeDocument/2006/relationships" name="填写说明（提交前可删除）" sheetId="2" r:id="R32bcc74287ef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/m/d"/>
    <x:numFmt numFmtId="200" formatCode="0.0%"/>
  </x:numFmts>
  <x:fonts count="18">
    <x:font>
      <x:sz val="11"/>
      <x:color theme="1"/>
      <x:name val="Calibri"/>
    </x:font>
    <x:font>
      <x:b/>
      <x:sz val="28"/>
    </x:font>
    <x:font>
      <x:b/>
      <x:sz val="12"/>
    </x:font>
    <x:font>
      <x:sz val="10"/>
    </x:font>
    <x:font>
      <x:b/>
      <x:sz val="10"/>
    </x:font>
    <x:font>
      <x:b/>
      <x:sz val="10"/>
      <x:color rgb="FF1F2933"/>
      <x:name val="Arial"/>
    </x:font>
    <x:font>
      <x:sz val="10"/>
      <x:color rgb="FF1F2933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0"/>
      <x:color rgb="FF7A4E00"/>
      <x:name val="Arial"/>
    </x:font>
    <x:font>
      <x:b/>
      <x:sz val="11"/>
      <x:color rgb="FFFFFFFF"/>
      <x:name val="Arial"/>
    </x:font>
    <x:font>
      <x:sz val="10"/>
      <x:color rgb="FF17324D"/>
      <x:name val="Arial"/>
    </x:font>
    <x:font>
      <x:sz val="10"/>
      <x:color rgb="FF26384A"/>
      <x:name val="Arial"/>
    </x:font>
    <x:font>
      <x:sz val="10"/>
      <x:color rgb="FF36566B"/>
      <x:name val="Arial"/>
    </x:font>
    <x:font>
      <x:sz val="11"/>
      <x:color rgb="FF26384A"/>
      <x:name val="Arial"/>
    </x:font>
    <x:font>
      <x:b/>
      <x:sz val="10"/>
      <x:color rgb="FF27445E"/>
      <x:name val="Arial"/>
    </x:font>
    <x:font>
      <x:b/>
      <x:sz val="10"/>
      <x:color rgb="FF26384A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CCFFFF"/>
      </x:patternFill>
    </x:fill>
    <x:fill>
      <x:patternFill patternType="solid">
        <x:fgColor rgb="FF17324D"/>
      </x:patternFill>
    </x:fill>
    <x:fill>
      <x:patternFill patternType="solid">
        <x:fgColor rgb="FF2F6F8F"/>
      </x:patternFill>
    </x:fill>
    <x:fill>
      <x:patternFill patternType="solid">
        <x:fgColor rgb="FFEAF3F7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FFF9ED"/>
      </x:patternFill>
    </x:fill>
    <x:fill>
      <x:patternFill patternType="solid">
        <x:fgColor rgb="FF17324D"/>
      </x:patternFill>
    </x:fill>
    <x:fill>
      <x:patternFill patternType="solid">
        <x:fgColor rgb="FF2F6F8F"/>
      </x:patternFill>
    </x:fill>
    <x:fill>
      <x:patternFill patternType="solid">
        <x:fgColor rgb="FFEAF3F7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FFF9ED"/>
      </x:patternFill>
    </x:fill>
    <x:fill>
      <x:patternFill patternType="solid">
        <x:fgColor rgb="FF17324D"/>
      </x:patternFill>
    </x:fill>
    <x:fill>
      <x:patternFill patternType="solid">
        <x:fgColor rgb="FF2F6F8F"/>
      </x:patternFill>
    </x:fill>
    <x:fill>
      <x:patternFill patternType="solid">
        <x:fgColor rgb="FFEAF3F7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FFF9ED"/>
      </x:patternFill>
    </x:fill>
    <x:fill>
      <x:patternFill patternType="solid">
        <x:fgColor rgb="FF2F6F8F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2F6F8F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3F7"/>
      </x:patternFill>
    </x:fill>
  </x:fills>
  <x:borders count="8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</x:border>
    <x:border>
      <x:left style="thin">
        <x:color rgb="FFBFBFBF"/>
      </x:left>
      <x:right style="thin">
        <x:color rgb="FFBFBFBF"/>
      </x:right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C8D6DF"/>
      </x:left>
      <x:right style="thin">
        <x:color rgb="FFC8D6DF"/>
      </x:right>
      <x:top style="thin">
        <x:color rgb="FFC8D6DF"/>
      </x:top>
      <x:bottom style="thin">
        <x:color rgb="FFC8D6D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0" fontId="3" fillId="0" borderId="0" xfId="0" applyAlignment="1">
      <x:alignment horizontal="left" vertical="center" wrapText="1"/>
    </x:xf>
    <x:xf numFmtId="0" fontId="0" fillId="0" borderId="3" xfId="0"/>
    <x:xf numFmtId="0" fontId="0" fillId="0" borderId="4" xfId="0"/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center" vertical="center" wrapText="1"/>
    </x:xf>
    <x:xf numFmtId="0" fontId="4" fillId="0" borderId="0" xfId="0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164" fontId="6" fillId="0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left"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5" fillId="6" borderId="5" xfId="0" applyNumberFormat="1" applyFont="1" applyFill="1" applyBorder="1" applyAlignment="1">
      <x:alignment horizontal="left" vertical="top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left" vertical="top" wrapText="1"/>
    </x:xf>
    <x:xf numFmtId="0" fontId="5" fillId="7" borderId="5" xfId="0" applyNumberFormat="1" applyFont="1" applyFill="1" applyBorder="1" applyAlignment="1">
      <x:alignment horizontal="left" vertical="top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left" vertical="top" wrapText="1"/>
    </x:xf>
    <x:xf numFmtId="0" fontId="10" fillId="8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11" fillId="4" borderId="5" xfId="0" applyNumberFormat="1" applyFont="1" applyFill="1" applyBorder="1" applyAlignment="1">
      <x:alignment horizontal="left" vertical="center" wrapText="1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left" vertical="center" wrapText="1"/>
    </x:xf>
    <x:xf numFmtId="0" fontId="9" fillId="5" borderId="5" xfId="0" applyNumberFormat="1" applyFont="1" applyFill="1" applyBorder="1" applyAlignment="1">
      <x:alignment horizontal="left" vertical="center" wrapText="1"/>
    </x:xf>
    <x:xf numFmtId="0" fontId="6" fillId="7" borderId="5" xfId="0" applyNumberFormat="1" applyFont="1" applyFill="1" applyBorder="1" applyAlignment="1">
      <x:alignment horizontal="left" vertical="center" wrapText="1"/>
    </x:xf>
    <x:xf numFmtId="0" fontId="12" fillId="7" borderId="5" xfId="0" applyNumberFormat="1" applyFont="1" applyFill="1" applyBorder="1" applyAlignment="1">
      <x:alignment horizontal="left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6" fillId="8" borderId="5" xfId="0" applyNumberFormat="1" applyFont="1" applyFill="1" applyBorder="1" applyAlignment="1">
      <x:alignment horizontal="left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7" fillId="9" borderId="5" xfId="0" applyNumberFormat="1" applyFont="1" applyFill="1" applyBorder="1" applyAlignment="1">
      <x:alignment horizontal="center" vertic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9" fillId="11" borderId="5" xfId="0" applyNumberFormat="1" applyFont="1" applyFill="1" applyBorder="1" applyAlignment="1">
      <x:alignment horizontal="center" vertical="center" wrapText="1"/>
    </x:xf>
    <x:xf numFmtId="0" fontId="6" fillId="12" borderId="5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6" fillId="12" borderId="5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9" fillId="13" borderId="5" xfId="0" applyNumberFormat="1" applyFont="1" applyFill="1" applyBorder="1" applyAlignment="1">
      <x:alignment horizontal="center" vertical="center" wrapText="1"/>
    </x:xf>
    <x:xf numFmtId="0" fontId="6" fillId="13" borderId="5" xfId="0" applyNumberFormat="1" applyFont="1" applyFill="1" applyBorder="1" applyAlignment="1">
      <x:alignment horizontal="left" vertical="top" wrapText="1"/>
    </x:xf>
    <x:xf numFmtId="0" fontId="5" fillId="13" borderId="5" xfId="0" applyNumberFormat="1" applyFont="1" applyFill="1" applyBorder="1" applyAlignment="1">
      <x:alignment horizontal="left" vertical="top" wrapText="1"/>
    </x:xf>
    <x:xf numFmtId="0" fontId="9" fillId="14" borderId="5" xfId="0" applyNumberFormat="1" applyFont="1" applyFill="1" applyBorder="1" applyAlignment="1">
      <x:alignment horizontal="center" vertical="center" wrapText="1"/>
    </x:xf>
    <x:xf numFmtId="0" fontId="6" fillId="14" borderId="5" xfId="0" applyNumberFormat="1" applyFont="1" applyFill="1" applyBorder="1" applyAlignment="1">
      <x:alignment horizontal="left" vertical="top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11" fillId="10" borderId="5" xfId="0" applyNumberFormat="1" applyFont="1" applyFill="1" applyBorder="1" applyAlignment="1">
      <x:alignment horizontal="center" vertical="center" wrapText="1"/>
    </x:xf>
    <x:xf numFmtId="0" fontId="5" fillId="11" borderId="5" xfId="0" applyNumberFormat="1" applyFont="1" applyFill="1" applyBorder="1" applyAlignment="1">
      <x:alignment horizontal="left" vertical="center" wrapText="1"/>
    </x:xf>
    <x:xf numFmtId="0" fontId="9" fillId="11" borderId="5" xfId="0" applyNumberFormat="1" applyFont="1" applyFill="1" applyBorder="1" applyAlignment="1">
      <x:alignment horizontal="left" vertical="center" wrapText="1"/>
    </x:xf>
    <x:xf numFmtId="0" fontId="6" fillId="13" borderId="5" xfId="0" applyNumberFormat="1" applyFont="1" applyFill="1" applyBorder="1" applyAlignment="1">
      <x:alignment horizontal="left" vertical="center" wrapText="1"/>
    </x:xf>
    <x:xf numFmtId="0" fontId="12" fillId="13" borderId="5" xfId="0" applyNumberFormat="1" applyFont="1" applyFill="1" applyBorder="1" applyAlignment="1">
      <x:alignment horizontal="left" vertical="center" wrapText="1"/>
    </x:xf>
    <x:xf numFmtId="0" fontId="5" fillId="15" borderId="5" xfId="0" applyNumberFormat="1" applyFont="1" applyFill="1" applyBorder="1" applyAlignment="1">
      <x:alignment horizontal="center" vertical="center" wrapText="1"/>
    </x:xf>
    <x:xf numFmtId="0" fontId="7" fillId="15" borderId="5" xfId="0" applyNumberFormat="1" applyFont="1" applyFill="1" applyBorder="1" applyAlignment="1">
      <x:alignment horizontal="center" vertical="center" wrapText="1"/>
    </x:xf>
    <x:xf numFmtId="0" fontId="5" fillId="16" borderId="5" xfId="0" applyNumberFormat="1" applyFont="1" applyFill="1" applyBorder="1" applyAlignment="1">
      <x:alignment horizontal="center" vertical="center" wrapText="1"/>
    </x:xf>
    <x:xf numFmtId="0" fontId="8" fillId="16" borderId="5" xfId="0" applyNumberFormat="1" applyFont="1" applyFill="1" applyBorder="1" applyAlignment="1">
      <x:alignment horizontal="center" vertical="center" wrapText="1"/>
    </x:xf>
    <x:xf numFmtId="0" fontId="5" fillId="17" borderId="5" xfId="0" applyNumberFormat="1" applyFont="1" applyFill="1" applyBorder="1" applyAlignment="1">
      <x:alignment horizontal="center" vertical="center" wrapText="1"/>
    </x:xf>
    <x:xf numFmtId="0" fontId="9" fillId="17" borderId="5" xfId="0" applyNumberFormat="1" applyFont="1" applyFill="1" applyBorder="1" applyAlignment="1">
      <x:alignment horizontal="center" vertical="center" wrapText="1"/>
    </x:xf>
    <x:xf numFmtId="0" fontId="6" fillId="18" borderId="5" xfId="0" applyNumberFormat="1" applyFont="1" applyFill="1" applyBorder="1" applyAlignment="1">
      <x:alignment horizontal="left" vertical="center" wrapText="1"/>
    </x:xf>
    <x:xf numFmtId="0" fontId="5" fillId="18" borderId="5" xfId="0" applyNumberFormat="1" applyFont="1" applyFill="1" applyBorder="1" applyAlignment="1">
      <x:alignment horizontal="left" vertical="center" wrapText="1"/>
    </x:xf>
    <x:xf numFmtId="0" fontId="6" fillId="18" borderId="5" xfId="0" applyNumberFormat="1" applyFont="1" applyFill="1" applyBorder="1" applyAlignment="1">
      <x:alignment horizontal="left" vertical="top" wrapText="1"/>
    </x:xf>
    <x:xf numFmtId="0" fontId="5" fillId="18" borderId="5" xfId="0" applyNumberFormat="1" applyFont="1" applyFill="1" applyBorder="1" applyAlignment="1">
      <x:alignment horizontal="left" vertical="top" wrapText="1"/>
    </x:xf>
    <x:xf numFmtId="0" fontId="9" fillId="19" borderId="5" xfId="0" applyNumberFormat="1" applyFont="1" applyFill="1" applyBorder="1" applyAlignment="1">
      <x:alignment horizontal="center" vertical="center" wrapText="1"/>
    </x:xf>
    <x:xf numFmtId="0" fontId="6" fillId="19" borderId="5" xfId="0" applyNumberFormat="1" applyFont="1" applyFill="1" applyBorder="1" applyAlignment="1">
      <x:alignment horizontal="left" vertical="top" wrapText="1"/>
    </x:xf>
    <x:xf numFmtId="0" fontId="5" fillId="19" borderId="5" xfId="0" applyNumberFormat="1" applyFont="1" applyFill="1" applyBorder="1" applyAlignment="1">
      <x:alignment horizontal="left" vertical="top" wrapText="1"/>
    </x:xf>
    <x:xf numFmtId="0" fontId="9" fillId="20" borderId="5" xfId="0" applyNumberFormat="1" applyFont="1" applyFill="1" applyBorder="1" applyAlignment="1">
      <x:alignment horizontal="center" vertical="center" wrapText="1"/>
    </x:xf>
    <x:xf numFmtId="0" fontId="6" fillId="20" borderId="5" xfId="0" applyNumberFormat="1" applyFont="1" applyFill="1" applyBorder="1" applyAlignment="1">
      <x:alignment horizontal="left" vertical="top" wrapText="1"/>
    </x:xf>
    <x:xf numFmtId="0" fontId="10" fillId="20" borderId="5" xfId="0" applyNumberFormat="1" applyFont="1" applyFill="1" applyBorder="1" applyAlignment="1">
      <x:alignment horizontal="center" vertical="center" wrapText="1"/>
    </x:xf>
    <x:xf numFmtId="0" fontId="11" fillId="16" borderId="5" xfId="0" applyNumberFormat="1" applyFont="1" applyFill="1" applyBorder="1" applyAlignment="1">
      <x:alignment horizontal="center" vertical="center" wrapText="1"/>
    </x:xf>
    <x:xf numFmtId="0" fontId="5" fillId="17" borderId="5" xfId="0" applyNumberFormat="1" applyFont="1" applyFill="1" applyBorder="1" applyAlignment="1">
      <x:alignment horizontal="left" vertical="center" wrapText="1"/>
    </x:xf>
    <x:xf numFmtId="0" fontId="9" fillId="17" borderId="5" xfId="0" applyNumberFormat="1" applyFont="1" applyFill="1" applyBorder="1" applyAlignment="1">
      <x:alignment horizontal="left" vertical="center" wrapText="1"/>
    </x:xf>
    <x:xf numFmtId="0" fontId="6" fillId="19" borderId="5" xfId="0" applyNumberFormat="1" applyFont="1" applyFill="1" applyBorder="1" applyAlignment="1">
      <x:alignment horizontal="left" vertical="center" wrapText="1"/>
    </x:xf>
    <x:xf numFmtId="0" fontId="12" fillId="19" borderId="5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borderId="6" xfId="0" applyNumberFormat="1" applyFont="1" applyFill="1" applyBorder="1"/>
    <x:xf numFmtId="0" fontId="8" fillId="21" borderId="6" xfId="0" applyNumberFormat="1" applyFont="1" applyFill="1" applyBorder="1" applyAlignment="1">
      <x:alignment wrapText="1"/>
    </x:xf>
    <x:xf numFmtId="0" fontId="8" fillId="21" borderId="6" xfId="0" applyNumberFormat="1" applyFont="1" applyFill="1" applyBorder="1" applyAlignment="1">
      <x:alignment horizontal="center" wrapText="1"/>
    </x:xf>
    <x:xf numFmtId="0" fontId="8" fillId="21" borderId="6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7" xfId="0" applyNumberFormat="1" applyFont="1" applyFill="1" applyBorder="1"/>
    <x:xf numFmtId="0" fontId="13" fillId="0" borderId="7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7" xfId="0" applyNumberFormat="1" applyFont="1" applyFill="1" applyBorder="1"/>
    <x:xf numFmtId="0" fontId="13" fillId="22" borderId="7" xfId="0" applyNumberFormat="1" applyFont="1" applyFill="1" applyBorder="1" applyAlignment="1">
      <x:alignment wrapText="1"/>
    </x:xf>
    <x:xf numFmtId="0" fontId="13" fillId="22" borderId="7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4" fillId="24" borderId="0" xfId="0" applyNumberFormat="1" applyFont="1" applyFill="1" applyBorder="1"/>
    <x:xf numFmtId="0" fontId="14" fillId="24" borderId="0" xfId="0" applyNumberFormat="1" applyFont="1" applyFill="1" applyBorder="1" applyAlignment="1">
      <x:alignment wrapText="1"/>
    </x:xf>
    <x:xf numFmtId="0" fontId="14" fillId="24" borderId="0" xfId="0" applyNumberFormat="1" applyFont="1" applyFill="1" applyBorder="1" applyAlignment="1">
      <x:alignment vertical="center" wrapText="1"/>
    </x:xf>
    <x:xf numFmtId="0" fontId="8" fillId="21" borderId="6" xfId="0" applyNumberFormat="1" applyFont="1" applyFill="1" applyBorder="1" applyAlignment="1">
      <x:alignment horizontal="center"/>
    </x:xf>
    <x:xf numFmtId="0" fontId="8" fillId="21" borderId="6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7" xfId="0" applyNumberFormat="1" applyFont="1" applyFill="1" applyBorder="1"/>
    <x:xf numFmtId="0" fontId="15" fillId="0" borderId="7" xfId="0" applyNumberFormat="1" applyFont="1" applyFill="1" applyBorder="1" applyAlignment="1">
      <x:alignment vertical="center"/>
    </x:xf>
    <x:xf numFmtId="200" fontId="15" fillId="0" borderId="7" xfId="0" applyNumberFormat="1" applyFont="1" applyFill="1" applyBorder="1" applyAlignment="1">
      <x:alignment vertical="center"/>
    </x:xf>
    <x:xf numFmtId="0" fontId="15" fillId="0" borderId="7" xfId="0" applyNumberFormat="1" applyFont="1" applyFill="1" applyBorder="1" applyAlignment="1">
      <x:alignment horizontal="right" vertical="center"/>
    </x:xf>
    <x:xf numFmtId="200" fontId="15" fillId="0" borderId="7" xfId="0" applyNumberFormat="1" applyFont="1" applyFill="1" applyBorder="1" applyAlignment="1">
      <x:alignment horizontal="right" vertical="center"/>
    </x:xf>
    <x:xf numFmtId="0" fontId="13" fillId="0" borderId="7" xfId="0" applyNumberFormat="1" applyFont="1" applyFill="1" applyBorder="1" applyAlignment="1">
      <x:alignment vertical="center" wrapText="1"/>
    </x:xf>
    <x:xf numFmtId="0" fontId="13" fillId="24" borderId="7" xfId="0" applyNumberFormat="1" applyFont="1" applyFill="1" applyBorder="1" applyAlignment="1">
      <x:alignment vertical="center" wrapText="1"/>
    </x:xf>
    <x:xf numFmtId="0" fontId="16" fillId="24" borderId="7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6" xfId="0" applyNumberFormat="1" applyFont="1" applyFill="1" applyBorder="1"/>
    <x:xf numFmtId="0" fontId="8" fillId="25" borderId="6" xfId="0" applyNumberFormat="1" applyFont="1" applyFill="1" applyBorder="1" applyAlignment="1">
      <x:alignment wrapText="1"/>
    </x:xf>
    <x:xf numFmtId="0" fontId="8" fillId="25" borderId="6" xfId="0" applyNumberFormat="1" applyFont="1" applyFill="1" applyBorder="1" applyAlignment="1">
      <x:alignment horizontal="center" wrapText="1"/>
    </x:xf>
    <x:xf numFmtId="0" fontId="8" fillId="25" borderId="6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13" fillId="26" borderId="7" xfId="0" applyNumberFormat="1" applyFont="1" applyFill="1" applyBorder="1"/>
    <x:xf numFmtId="0" fontId="13" fillId="26" borderId="7" xfId="0" applyNumberFormat="1" applyFont="1" applyFill="1" applyBorder="1" applyAlignment="1">
      <x:alignment wrapText="1"/>
    </x:xf>
    <x:xf numFmtId="0" fontId="13" fillId="26" borderId="7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4" fillId="28" borderId="0" xfId="0" applyNumberFormat="1" applyFont="1" applyFill="1" applyBorder="1" applyAlignment="1">
      <x:alignment vertical="center" wrapText="1"/>
    </x:xf>
    <x:xf numFmtId="0" fontId="8" fillId="25" borderId="6" xfId="0" applyNumberFormat="1" applyFont="1" applyFill="1" applyBorder="1" applyAlignment="1">
      <x:alignment horizontal="center"/>
    </x:xf>
    <x:xf numFmtId="0" fontId="8" fillId="25" borderId="6" xfId="0" applyNumberFormat="1" applyFont="1" applyFill="1" applyBorder="1" applyAlignment="1">
      <x:alignment horizontal="center" vertical="center"/>
    </x:xf>
    <x:xf numFmtId="0" fontId="17" fillId="5" borderId="7" xfId="0" applyNumberFormat="1" applyFont="1" applyFill="1" applyBorder="1" applyAlignment="1">
      <x:alignment vertical="center" wrapText="1"/>
    </x:xf>
    <x:xf numFmtId="0" fontId="17" fillId="28" borderId="7" xfId="0" applyNumberFormat="1" applyFont="1" applyFill="1" applyBorder="1" applyAlignment="1">
      <x:alignment vertical="center" wrapText="1"/>
    </x:xf>
    <x:xf numFmtId="0" fontId="16" fillId="28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74b282d8b4778" /><Relationship Type="http://schemas.openxmlformats.org/officeDocument/2006/relationships/theme" Target="/xl/theme/theme1.xml" Id="R2fc9170acee6434e" /><Relationship Type="http://schemas.openxmlformats.org/officeDocument/2006/relationships/sharedStrings" Target="/xl/sharedStrings.xml" Id="Re69fb036e3924fae" /><Relationship Type="http://schemas.openxmlformats.org/officeDocument/2006/relationships/worksheet" Target="/xl/worksheets/sheet1.xml" Id="Rb77125e0b5554bd8" /><Relationship Type="http://schemas.openxmlformats.org/officeDocument/2006/relationships/worksheet" Target="/xl/worksheets/sheet2.xml" Id="Rb1a26b6688d9495e" /><Relationship Type="http://schemas.openxmlformats.org/officeDocument/2006/relationships/worksheet" Target="/xl/worksheets/sheet3.xml" Id="R261196fdbeec4998" /><Relationship Type="http://schemas.openxmlformats.org/officeDocument/2006/relationships/worksheet" Target="/xl/worksheets/sheet4.xml" Id="R32bcc74287ef4c2c" /></Relationships>
</file>

<file path=xl/tables/table1.xml><?xml version="1.0" encoding="utf-8"?>
<x:table xmlns:x="http://schemas.openxmlformats.org/spreadsheetml/2006/main" id="1" name="PlanEvaluationTable" displayName="PlanEvaluationTable" ref="A1:I2" headerRowCount="1" totalsRowCount="0" totalsRowShown="0">
  <x:tableColumns count="9">
    <x:tableColumn id="1" name="方案编号"/>
    <x:tableColumn id="2" name="模块"/>
    <x:tableColumn id="3" name="功能描述"/>
    <x:tableColumn id="4" name="测试要点/预期"/>
    <x:tableColumn id="5" name="测试场景类型"/>
    <x:tableColumn id="6" name="方案优先级"/>
    <x:tableColumn id="7" name="评价结论"/>
    <x:tableColumn id="8" name="修改点"/>
    <x:tableColumn id="9" name="不采纳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c2f9dcaa79544c9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8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4" customHeight="1">
      <x:c r="A1" s="93" t="inlineStr">
        <x:is>
          <x:t xml:space="preserve">上证e投票平台_{迭代需求}_系统测试方案</x:t>
        </x:is>
      </x:c>
      <x:c r="B1" s="93"/>
      <x:c r="C1" s="93"/>
      <x:c r="D1" s="93"/>
      <x:c r="E1" s="93"/>
      <x:c r="F1" s="93"/>
    </x:row>
    <x:row r="2" ht="24" customHeight="1">
      <x:c r="A2" s="95" t="inlineStr">
        <x:is>
          <x:t xml:space="preserve">测试里程碑</x:t>
        </x:is>
      </x:c>
      <x:c r="B2" s="95" t="inlineStr">
        <x:is>
          <x:t xml:space="preserve">测试设计完成日期</x:t>
        </x:is>
      </x:c>
      <x:c r="C2" s="95" t="inlineStr">
        <x:is>
          <x:t xml:space="preserve">评审日期</x:t>
        </x:is>
      </x:c>
      <x:c r="D2" s="95" t="inlineStr">
        <x:is>
          <x:t xml:space="preserve">提测日期</x:t>
        </x:is>
      </x:c>
      <x:c r="E2" s="95" t="inlineStr">
        <x:is>
          <x:t xml:space="preserve">回归完成日期</x:t>
        </x:is>
      </x:c>
      <x:c r="F2" s="95" t="inlineStr">
        <x:is>
          <x:t xml:space="preserve">系统上线日期</x:t>
        </x:is>
      </x:c>
    </x:row>
    <x:row r="3" ht="24" customHeight="1">
      <x:c r="A3" s="29" t="n"/>
      <x:c r="B3" s="30" t="n"/>
      <x:c r="C3" s="30" t="n"/>
      <x:c r="D3" s="30" t="n"/>
      <x:c r="E3" s="30" t="n"/>
      <x:c r="F3" s="30" t="n"/>
    </x:row>
    <x:row r="4" ht="52" customHeight="1">
      <x:c r="A4" s="97" t="inlineStr">
        <x:is>
          <x:t xml:space="preserve">需求内容</x:t>
        </x:is>
      </x:c>
      <x:c r="B4" s="97" t="inlineStr">
        <x:is>
          <x:t xml:space="preserve">需求内容/项目目标</x:t>
        </x:is>
      </x:c>
      <x:c r="C4" s="100" t="inlineStr">
        <x:is>
          <x:t xml:space="preserve">1、 {需求项一}：{改了什么、解决什么问题}；
2、 {需求项二}：{改了什么、解决什么问题}；
3、 {需求项三}：{改了什么、解决什么问题}；</x:t>
        </x:is>
      </x:c>
      <x:c r="D4" s="100"/>
      <x:c r="E4" s="100"/>
      <x:c r="F4" s="100"/>
    </x:row>
    <x:row r="5" ht="44" customHeight="1">
      <x:c r="A5" s="97" t="inlineStr">
        <x:is>
          <x:t xml:space="preserve">测试策略</x:t>
        </x:is>
      </x:c>
      <x:c r="B5" s="97" t="inlineStr">
        <x:is>
          <x:t xml:space="preserve">功能测试策略</x:t>
        </x:is>
      </x:c>
      <x:c r="C5" s="100" t="inlineStr">
        <x:is>
          <x:t xml:space="preserve">数据驱动测试，主要角度：1，功能错误或者遗漏；2，业务流程测试；3，数据的正确性；4，界面错误；5，角色权限控制；</x:t>
        </x:is>
      </x:c>
      <x:c r="D5" s="100"/>
      <x:c r="E5" s="100"/>
      <x:c r="F5" s="100"/>
    </x:row>
    <x:row r="6" ht="78" customHeight="1">
      <x:c r="A6" s="97"/>
      <x:c r="B6" s="97" t="inlineStr">
        <x:is>
          <x:t xml:space="preserve">兼容性测试策略</x:t>
        </x:is>
      </x:c>
      <x:c r="C6" s="100" t="inlineStr">
        <x:is>
          <x:t xml:space="preserve">浏览器：chrome、360极速、奇安信、统信浏览器
PC端主流分辨率：1280*1024，1920*1080
IOS：iPhoneX，iPhone15，iPhone11 Pro
鸿蒙：华为mate30 Pro，华为mate40 Pro，华为mate60
安卓：小米CC9 Pro，小米15</x:t>
        </x:is>
      </x:c>
      <x:c r="D6" s="100"/>
      <x:c r="E6" s="100"/>
      <x:c r="F6" s="100"/>
    </x:row>
    <x:row r="7" ht="44" customHeight="1">
      <x:c r="A7" s="97"/>
      <x:c r="B7" s="97" t="inlineStr">
        <x:is>
          <x:t xml:space="preserve">关联性测试策略</x:t>
        </x:is>
      </x:c>
      <x:c r="C7" s="100" t="inlineStr">
        <x:is>
          <x:t xml:space="preserve">前后台数据联动;</x:t>
        </x:is>
      </x:c>
      <x:c r="D7" s="100"/>
      <x:c r="E7" s="100"/>
      <x:c r="F7" s="100"/>
    </x:row>
    <x:row r="8" ht="44" customHeight="1">
      <x:c r="A8" s="97"/>
      <x:c r="B8" s="97" t="inlineStr">
        <x:is>
          <x:t xml:space="preserve">回归测试策略</x:t>
        </x:is>
      </x:c>
      <x:c r="C8" s="100" t="inlineStr">
        <x:is>
          <x:t xml:space="preserve">改动涉及的模块与功能回归（范围见 references/回归清单.md，按本次改动裁剪）</x:t>
        </x:is>
      </x:c>
      <x:c r="D8" s="100"/>
      <x:c r="E8" s="100"/>
      <x:c r="F8" s="100"/>
    </x:row>
    <x:row r="9" ht="108" customHeight="1">
      <x:c r="A9" s="102" t="inlineStr">
        <x:is>
          <x:t xml:space="preserve">测试范围</x:t>
        </x:is>
      </x:c>
      <x:c r="B9" s="102" t="inlineStr">
        <x:is>
          <x:t xml:space="preserve">测试覆盖大纲</x:t>
        </x:is>
      </x:c>
      <x:c r="C9" s="103" t="inlineStr">
        <x:is>
          <x:t xml:space="preserve">{需求名}
一、 {功能模块/验证主题}
1、{具体测试点：在哪、做什么、验证什么}
2、{具体测试点，含反向/边界场景}
  2.1、{更细的分支（缩进 2 个半角空格）}
二、 {功能模块/验证主题}
1、{具体测试点}
回归测试：
1、业务系统：
  1.1、前台：{会议类型} 办理流程回归；
  1.2、后台：{模块} 功能回归；
2、统计系统：{通道/股权/消息} 回归
3、采编系统：{栏目} 回归
4、新网站H5端：{页面与流程} 回归</x:t>
        </x:is>
      </x:c>
      <x:c r="D9" s="103"/>
      <x:c r="E9" s="103"/>
      <x:c r="F9" s="103"/>
    </x:row>
    <x:row r="10" ht="58" customHeight="1">
      <x:c r="A10" s="97"/>
      <x:c r="B10" s="97" t="n"/>
      <x:c r="C10" s="100" t="n"/>
      <x:c r="D10" s="100"/>
      <x:c r="E10" s="100"/>
      <x:c r="F10" s="100"/>
    </x:row>
    <x:row r="11" ht="58" customHeight="1">
      <x:c r="A11" s="97"/>
      <x:c r="B11" s="97" t="n"/>
      <x:c r="C11" s="100" t="n"/>
      <x:c r="D11" s="100"/>
      <x:c r="E11" s="100"/>
      <x:c r="F11" s="100"/>
    </x:row>
    <x:row r="12" ht="58" customHeight="1">
      <x:c r="A12" s="97"/>
      <x:c r="B12" s="97" t="n"/>
      <x:c r="C12" s="100" t="n"/>
      <x:c r="D12" s="100"/>
      <x:c r="E12" s="100"/>
      <x:c r="F12" s="100"/>
    </x:row>
    <x:row r="13" ht="58" customHeight="1">
      <x:c r="A13" s="97"/>
      <x:c r="B13" s="97" t="n"/>
      <x:c r="C13" s="100" t="n"/>
      <x:c r="D13" s="100"/>
      <x:c r="E13" s="100"/>
      <x:c r="F13" s="100"/>
    </x:row>
    <x:row r="14" ht="58" customHeight="1">
      <x:c r="A14" s="97"/>
      <x:c r="B14" s="97" t="n"/>
      <x:c r="C14" s="100" t="n"/>
      <x:c r="D14" s="100"/>
      <x:c r="E14" s="100"/>
      <x:c r="F14" s="100"/>
    </x:row>
    <x:row r="15" ht="58" customHeight="1">
      <x:c r="A15" s="97"/>
      <x:c r="B15" s="97" t="n"/>
      <x:c r="C15" s="100" t="n"/>
      <x:c r="D15" s="100"/>
      <x:c r="E15" s="100"/>
      <x:c r="F15" s="100"/>
    </x:row>
    <x:row r="16" ht="58" customHeight="1">
      <x:c r="A16" s="97"/>
      <x:c r="B16" s="97" t="n"/>
      <x:c r="C16" s="100" t="n"/>
      <x:c r="D16" s="100"/>
      <x:c r="E16" s="100"/>
      <x:c r="F16" s="100"/>
    </x:row>
    <x:row r="17" ht="58" customHeight="1">
      <x:c r="A17" s="97"/>
      <x:c r="B17" s="97" t="n"/>
      <x:c r="C17" s="100" t="n"/>
      <x:c r="D17" s="100"/>
      <x:c r="E17" s="100"/>
      <x:c r="F17" s="100"/>
    </x:row>
    <x:row r="18" ht="58" customHeight="1">
      <x:c r="A18" s="97"/>
      <x:c r="B18" s="97" t="n"/>
      <x:c r="C18" s="100" t="n"/>
      <x:c r="D18" s="100"/>
      <x:c r="E18" s="100"/>
      <x:c r="F18" s="100"/>
    </x:row>
    <x:row r="19" ht="28" customHeight="1">
      <x:c r="A19" s="102" t="inlineStr">
        <x:is>
          <x:t xml:space="preserve">测试资源</x:t>
        </x:is>
      </x:c>
      <x:c r="B19" s="102" t="inlineStr">
        <x:is>
          <x:t xml:space="preserve">测试资源/范围/工时</x:t>
        </x:is>
      </x:c>
      <x:c r="C19" s="104" t="inlineStr">
        <x:is>
          <x:t xml:space="preserve">{执行人姓名}</x:t>
        </x:is>
      </x:c>
      <x:c r="D19" s="103" t="inlineStr">
        <x:is>
          <x:t xml:space="preserve">需求分析、测试方案、用例编写、评审及修改</x:t>
        </x:is>
      </x:c>
      <x:c r="E19" s="103"/>
      <x:c r="F19" s="103" t="inlineStr">
        <x:is>
          <x:t xml:space="preserve">6人日</x:t>
        </x:is>
      </x:c>
    </x:row>
    <x:row r="20" ht="28" customHeight="1">
      <x:c r="A20" s="102"/>
      <x:c r="B20" s="102"/>
      <x:c r="C20" s="103"/>
      <x:c r="D20" s="103" t="inlineStr">
        <x:is>
          <x:t xml:space="preserve">测试环境测试执行、回归测试</x:t>
        </x:is>
      </x:c>
      <x:c r="E20" s="103"/>
      <x:c r="F20" s="103" t="inlineStr">
        <x:is>
          <x:t xml:space="preserve">20人日</x:t>
        </x:is>
      </x:c>
    </x:row>
    <x:row r="21" ht="28" customHeight="1">
      <x:c r="A21" s="102"/>
      <x:c r="B21" s="102"/>
      <x:c r="C21" s="103"/>
      <x:c r="D21" s="103" t="inlineStr">
        <x:is>
          <x:t xml:space="preserve">测试报告编写及评审</x:t>
        </x:is>
      </x:c>
      <x:c r="E21" s="103"/>
      <x:c r="F21" s="103" t="inlineStr">
        <x:is>
          <x:t xml:space="preserve">1人日</x:t>
        </x:is>
      </x:c>
    </x:row>
    <x:row r="22" ht="42" customHeight="1">
      <x:c r="A22" s="107" t="inlineStr">
        <x:is>
          <x:t xml:space="preserve">测试风险（包括预估风险和预防措施）</x:t>
        </x:is>
      </x:c>
      <x:c r="B22" s="107" t="inlineStr">
        <x:is>
          <x:t xml:space="preserve">资源风险</x:t>
        </x:is>
      </x:c>
      <x:c r="C22" s="106" t="inlineStr">
        <x:is>
          <x:t xml:space="preserve">经项目组确认浏览器兼容性如方案所述，未能覆盖浏览器等可能带来结果异常的风险
经项目组确认覆盖机型如方案所述，未能覆盖设备等可能带来结果异常的风险</x:t>
        </x:is>
      </x:c>
      <x:c r="D22" s="106"/>
      <x:c r="E22" s="106"/>
      <x:c r="F22" s="106"/>
    </x:row>
    <x:row r="23" ht="42" customHeight="1">
      <x:c r="A23" s="107"/>
      <x:c r="B23" s="107" t="inlineStr">
        <x:is>
          <x:t xml:space="preserve">环境风险</x:t>
        </x:is>
      </x:c>
      <x:c r="C23" s="106" t="inlineStr">
        <x:is>
          <x:t xml:space="preserve">无</x:t>
        </x:is>
      </x:c>
      <x:c r="D23" s="106"/>
      <x:c r="E23" s="106"/>
      <x:c r="F23" s="106"/>
    </x:row>
    <x:row r="24" ht="42" customHeight="1">
      <x:c r="A24" s="107"/>
      <x:c r="B24" s="107" t="inlineStr">
        <x:is>
          <x:t xml:space="preserve">时间风险</x:t>
        </x:is>
      </x:c>
      <x:c r="C24" s="106" t="inlineStr">
        <x:is>
          <x:t xml:space="preserve">无</x:t>
        </x:is>
      </x:c>
      <x:c r="D24" s="106"/>
      <x:c r="E24" s="106"/>
      <x:c r="F24" s="106"/>
    </x:row>
    <x:row r="25" ht="42" customHeight="1">
      <x:c r="A25" s="107"/>
      <x:c r="B25" s="107" t="inlineStr">
        <x:is>
          <x:t xml:space="preserve">技术风险</x:t>
        </x:is>
      </x:c>
      <x:c r="C25" s="106" t="inlineStr">
        <x:is>
          <x:t xml:space="preserve">无</x:t>
        </x:is>
      </x:c>
      <x:c r="D25" s="106"/>
      <x:c r="E25" s="106"/>
      <x:c r="F25" s="106"/>
    </x:row>
  </x:sheetData>
  <x:mergeCells>
    <x:mergeCell ref="D20:E20"/>
    <x:mergeCell ref="C17:F17"/>
    <x:mergeCell ref="C23:F23"/>
    <x:mergeCell ref="C8:F8"/>
    <x:mergeCell ref="D19:E19"/>
    <x:mergeCell ref="C7:F7"/>
    <x:mergeCell ref="D21:E21"/>
    <x:mergeCell ref="C13:F13"/>
    <x:mergeCell ref="A9:A18"/>
    <x:mergeCell ref="C18:F18"/>
    <x:mergeCell ref="C6:F6"/>
    <x:mergeCell ref="A19:A21"/>
    <x:mergeCell ref="C19:C21"/>
    <x:mergeCell ref="C15:F15"/>
    <x:mergeCell ref="A2:A3"/>
    <x:mergeCell ref="C24:F24"/>
    <x:mergeCell ref="C5:F5"/>
    <x:mergeCell ref="C14:F14"/>
    <x:mergeCell ref="C4:F4"/>
    <x:mergeCell ref="C16:F16"/>
    <x:mergeCell ref="C25:F25"/>
    <x:mergeCell ref="A5:A8"/>
    <x:mergeCell ref="C10:F10"/>
    <x:mergeCell ref="A22:A25"/>
    <x:mergeCell ref="C22:F22"/>
    <x:mergeCell ref="C9:F9"/>
    <x:mergeCell ref="B9:B18"/>
    <x:mergeCell ref="A1:F1"/>
    <x:mergeCell ref="C12:F12"/>
    <x:mergeCell ref="C11:F11"/>
    <x:mergeCell ref="B19:B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8F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</x:cols>
  <x:sheetData>
    <x:row r="1" ht="34" customHeight="1">
      <x:c r="A1" s="159" t="str">
        <x:v>方案人工评价统计</x:v>
      </x:c>
      <x:c r="B1" s="159"/>
    </x:row>
    <x:row r="2" ht="36" customHeight="1">
      <x:c r="A2" s="163" t="str">
        <x:v>已评价数=采纳+不采纳+待修改；采纳率=采纳数÷已评价数。结论为待修改时填写修改点；不采纳时填写不采纳原因。</x:v>
      </x:c>
      <x:c r="B2" s="163"/>
    </x:row>
    <x:row r="4">
      <x:c r="A4" s="165" t="str">
        <x:v>统计项</x:v>
      </x:c>
      <x:c r="B4" s="165" t="str">
        <x:v>数量/比例</x:v>
      </x:c>
    </x:row>
    <x:row r="5">
      <x:c r="A5" s="139" t="str">
        <x:v>方案项总数</x:v>
      </x:c>
      <x:c r="B5" s="141" t="n">
        <x:f>COUNTA('方案人工评价'!$A$2:$A$2001)</x:f>
        <x:v>0</x:v>
      </x:c>
    </x:row>
    <x:row r="6">
      <x:c r="A6" s="139" t="str">
        <x:v>采纳</x:v>
      </x:c>
      <x:c r="B6" s="141" t="n">
        <x:f>COUNTIFS('方案人工评价'!$G$2:$G$2001,"采纳")</x:f>
        <x:v>0</x:v>
      </x:c>
    </x:row>
    <x:row r="7">
      <x:c r="A7" s="139" t="str">
        <x:v>不采纳</x:v>
      </x:c>
      <x:c r="B7" s="141" t="n">
        <x:f>COUNTIFS('方案人工评价'!$G$2:$G$2001,"不采纳")</x:f>
        <x:v>0</x:v>
      </x:c>
    </x:row>
    <x:row r="8">
      <x:c r="A8" s="139" t="str">
        <x:v>待修改</x:v>
      </x:c>
      <x:c r="B8" s="141" t="n">
        <x:f>COUNTIFS('方案人工评价'!$G$2:$G$2001,"待修改")</x:f>
        <x:v>0</x:v>
      </x:c>
    </x:row>
    <x:row r="9">
      <x:c r="A9" s="139" t="str">
        <x:v>已评价</x:v>
      </x:c>
      <x:c r="B9" s="141" t="n">
        <x:f>SUM(B6:B8)</x:f>
        <x:v>0</x:v>
      </x:c>
    </x:row>
    <x:row r="10">
      <x:c r="A10" s="139" t="str">
        <x:v>待评价</x:v>
      </x:c>
      <x:c r="B10" s="141" t="n">
        <x:f>B5-B9</x:f>
        <x:v>0</x:v>
      </x:c>
    </x:row>
    <x:row r="11">
      <x:c r="A11" s="139" t="str">
        <x:v>采纳率</x:v>
      </x:c>
      <x:c r="B11" s="142" t="n">
        <x:f>IF(B9=0,0,B6/B9)</x:f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778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6" hidden="0" customWidth="1"/>
    <x:col min="4" max="4" width="48" hidden="0" customWidth="1"/>
    <x:col min="5" max="5" width="16" hidden="0" customWidth="1"/>
    <x:col min="6" max="6" width="15" hidden="0" customWidth="1"/>
    <x:col min="7" max="7" width="16" hidden="0" customWidth="1"/>
    <x:col min="8" max="8" width="34" hidden="0" customWidth="1"/>
    <x:col min="9" max="9" width="34" hidden="0" customWidth="1"/>
  </x:cols>
  <x:sheetData>
    <x:row r="1" ht="34" customHeight="1">
      <x:c r="A1" s="151" t="str">
        <x:v>方案编号</x:v>
      </x:c>
      <x:c r="B1" s="151" t="str">
        <x:v>模块</x:v>
      </x:c>
      <x:c r="C1" s="151" t="str">
        <x:v>功能描述</x:v>
      </x:c>
      <x:c r="D1" s="151" t="str">
        <x:v>测试要点/预期</x:v>
      </x:c>
      <x:c r="E1" s="151" t="str">
        <x:v>测试场景类型</x:v>
      </x:c>
      <x:c r="F1" s="151" t="str">
        <x:v>方案优先级</x:v>
      </x:c>
      <x:c r="G1" s="151" t="str">
        <x:v>评价结论</x:v>
      </x:c>
      <x:c r="H1" s="151" t="str">
        <x:v>修改点</x:v>
      </x:c>
      <x:c r="I1" s="151" t="str">
        <x:v>不采纳原因</x:v>
      </x:c>
    </x:row>
    <x:row r="2" ht="42" customHeight="1">
      <x:c r="A2" s="122"/>
      <x:c r="B2" s="122"/>
      <x:c r="C2" s="122"/>
      <x:c r="D2" s="122"/>
      <x:c r="E2" s="122"/>
      <x:c r="F2" s="122"/>
      <x:c r="G2" s="156"/>
      <x:c r="H2" s="156"/>
      <x:c r="I2" s="156"/>
    </x:row>
  </x:sheetData>
  <x:conditionalFormatting sqref="H2:H2001">
    <x:cfRule type="expression" dxfId="5" priority="1">
      <x:formula>AND($G2="待修改",$H2="")</x:formula>
    </x:cfRule>
  </x:conditionalFormatting>
  <x:conditionalFormatting sqref="I2:I2001">
    <x:cfRule type="expression" dxfId="6" priority="2">
      <x:formula>AND($G2="不采纳",$I2="")</x:formula>
    </x:cfRule>
  </x:conditionalFormatting>
  <x:conditionalFormatting sqref="G2:G2001">
    <x:cfRule type="expression" dxfId="7" priority="3">
      <x:formula>$G2="采纳"</x:formula>
    </x:cfRule>
    <x:cfRule type="expression" dxfId="8" priority="4">
      <x:formula>$G2="不采纳"</x:formula>
    </x:cfRule>
    <x:cfRule type="expression" dxfId="9" priority="5">
      <x:formula>$G2="待修改"</x:formula>
    </x:cfRule>
  </x:conditionalFormatting>
  <x:dataValidations count="1">
    <x:dataValidation type="list" errorStyle="stop" allowBlank="1" showDropDown="0" showInputMessage="1" showErrorMessage="1" errorTitle="结论无效" error="请从下拉列表中选择评价结论。" promptTitle="评价结论" prompt="请选择：采纳、不采纳或待修改。" sqref="G2:G2001">
      <x:formula1>"采纳,不采纳,待修改"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2f9dcaa79544c9"/>
  </x:tableParts>
</x:worksheet>
</file>

<file path=xl/worksheets/sheet4.xml><?xml version="1.0" encoding="utf-8"?>
<x:worksheet xmlns:x="http://schemas.openxmlformats.org/spreadsheetml/2006/main">
  <x:sheetPr>
    <x:tabColor rgb="FFA9B8C6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30" customHeight="1">
      <x:c r="A1" s="108" t="inlineStr">
        <x:is>
          <x:t xml:space="preserve">模块</x:t>
        </x:is>
      </x:c>
      <x:c r="B1" s="108" t="inlineStr">
        <x:is>
          <x:t xml:space="preserve">位置</x:t>
        </x:is>
      </x:c>
      <x:c r="C1" s="108" t="inlineStr">
        <x:is>
          <x:t xml:space="preserve">填写要求</x:t>
        </x:is>
      </x:c>
    </x:row>
    <x:row r="2" ht="30" customHeight="1">
      <x:c r="A2" s="110" t="inlineStr">
        <x:is>
          <x:t xml:space="preserve">标题</x:t>
        </x:is>
      </x:c>
      <x:c r="B2" s="112" t="inlineStr">
        <x:is>
          <x:t xml:space="preserve">A1</x:t>
        </x:is>
      </x:c>
      <x:c r="C2" s="31" t="inlineStr">
        <x:is>
          <x:t xml:space="preserve">格式：{产品}_{迭代需求}_系统测试方案</x:t>
        </x:is>
      </x:c>
    </x:row>
    <x:row r="3" ht="30" customHeight="1">
      <x:c r="A3" s="110" t="inlineStr">
        <x:is>
          <x:t xml:space="preserve">测试里程碑</x:t>
        </x:is>
      </x:c>
      <x:c r="B3" s="112" t="inlineStr">
        <x:is>
          <x:t xml:space="preserve">B2:F3</x:t>
        </x:is>
      </x:c>
      <x:c r="C3" s="31" t="inlineStr">
        <x:is>
          <x:t xml:space="preserve">5 个日期，格式 yyyy/m/d；未确定填“待定”</x:t>
        </x:is>
      </x:c>
    </x:row>
    <x:row r="4" ht="30" customHeight="1">
      <x:c r="A4" s="110" t="inlineStr">
        <x:is>
          <x:t xml:space="preserve">需求内容</x:t>
        </x:is>
      </x:c>
      <x:c r="B4" s="112" t="inlineStr">
        <x:is>
          <x:t xml:space="preserve">C4</x:t>
        </x:is>
      </x:c>
      <x:c r="C4" s="31" t="inlineStr">
        <x:is>
          <x:t xml:space="preserve">按 1、2、3、 编号列出需求项，每条一句话说清“改了什么、解决什么问题”</x:t>
        </x:is>
      </x:c>
    </x:row>
    <x:row r="5" ht="30" customHeight="1">
      <x:c r="A5" s="110" t="inlineStr">
        <x:is>
          <x:t xml:space="preserve">测试策略</x:t>
        </x:is>
      </x:c>
      <x:c r="B5" s="112" t="inlineStr">
        <x:is>
          <x:t xml:space="preserve">B5:C8</x:t>
        </x:is>
      </x:c>
      <x:c r="C5" s="31" t="inlineStr">
        <x:is>
          <x:t xml:space="preserve">4 类固定：功能/兼容性/关联性/回归；兼容性矩阵见 references/投票业务规则库.md 第7节</x:t>
        </x:is>
      </x:c>
    </x:row>
    <x:row r="6" ht="30" customHeight="1">
      <x:c r="A6" s="110" t="inlineStr">
        <x:is>
          <x:t xml:space="preserve">测试范围</x:t>
        </x:is>
      </x:c>
      <x:c r="B6" s="112" t="inlineStr">
        <x:is>
          <x:t xml:space="preserve">C9:C18</x:t>
        </x:is>
      </x:c>
      <x:c r="C6" s="31" t="inlineStr">
        <x:is>
          <x:t xml:space="preserve">核心。三段式编号：{需求名} → 一、{主题} → 1、{测试点} → 1.1、{分支}，层级≤4，每级缩进 2 个半角空格</x:t>
        </x:is>
      </x:c>
    </x:row>
    <x:row r="7" ht="30" customHeight="1">
      <x:c r="A7" s="110" t="inlineStr">
        <x:is>
          <x:t xml:space="preserve">测试范围</x:t>
        </x:is>
      </x:c>
      <x:c r="B7" s="112" t="inlineStr">
        <x:is>
          <x:t xml:space="preserve">C9:C18</x:t>
        </x:is>
      </x:c>
      <x:c r="C7" s="31" t="inlineStr">
        <x:is>
          <x:t xml:space="preserve">覆盖正/反/边界三场景；范围收口类需求（白名单）必须含反向验证；末尾必须有“回归测试：”段</x:t>
        </x:is>
      </x:c>
    </x:row>
    <x:row r="8" ht="30" customHeight="1">
      <x:c r="A8" s="110" t="inlineStr">
        <x:is>
          <x:t xml:space="preserve">测试资源</x:t>
        </x:is>
      </x:c>
      <x:c r="B8" s="112" t="inlineStr">
        <x:is>
          <x:t xml:space="preserve">C19:F21</x:t>
        </x:is>
      </x:c>
      <x:c r="C8" s="31" t="inlineStr">
        <x:is>
          <x:t xml:space="preserve">C19:C21 执行人（多人用顿号）；D19:E21 工作项；F19:F21 人日</x:t>
        </x:is>
      </x:c>
    </x:row>
    <x:row r="9" ht="30" customHeight="1">
      <x:c r="A9" s="110" t="inlineStr">
        <x:is>
          <x:t xml:space="preserve">测试风险</x:t>
        </x:is>
      </x:c>
      <x:c r="B9" s="112" t="inlineStr">
        <x:is>
          <x:t xml:space="preserve">B22:C25</x:t>
        </x:is>
      </x:c>
      <x:c r="C9" s="31" t="inlineStr">
        <x:is>
          <x:t xml:space="preserve">4 类固定：资源/环境/时间/技术；有未覆盖项必须落到对应条目，禁止用“无”掩盖缺口</x:t>
        </x:is>
      </x:c>
    </x:row>
    <x:row r="10" ht="30" customHeight="1">
      <x:c r="A10" s="110" t="inlineStr">
        <x:is>
          <x:t xml:space="preserve">格式约定</x:t>
        </x:is>
      </x:c>
      <x:c r="B10" s="112" t="inlineStr">
        <x:is>
          <x:t xml:space="preserve">—</x:t>
        </x:is>
      </x:c>
      <x:c r="C10" s="31" t="str">
        <x:v>深海军蓝标题、蓝灰表头、浅蓝分组、浅黄风险区；正文白底、自动换行、冻结前两行；生成后检查长文本无裁切</x:v>
      </x:c>
    </x:row>
    <x:row r="11" ht="36" customHeight="1">
      <x:c r="A11" s="168" t="str">
        <x:v>方案人工评价</x:v>
      </x:c>
      <x:c r="B11" s="168" t="str">
        <x:v>方案人工评价!A:I</x:v>
      </x:c>
      <x:c r="C11" s="143" t="str">
        <x:v>每个末级方案项一行，填入方案编号、模块、功能描述、测试要点/预期、场景类型和优先级。</x:v>
      </x:c>
    </x:row>
    <x:row r="12" ht="36" customHeight="1">
      <x:c r="A12" s="168" t="str">
        <x:v>评价结论</x:v>
      </x:c>
      <x:c r="B12" s="168" t="str">
        <x:v>G列</x:v>
      </x:c>
      <x:c r="C12" s="143" t="str">
        <x:v>下拉选择“采纳”“不采纳”或“待修改”；新生成时留空。</x:v>
      </x:c>
    </x:row>
    <x:row r="13" ht="36" customHeight="1">
      <x:c r="A13" s="168" t="str">
        <x:v>条件填写</x:v>
      </x:c>
      <x:c r="B13" s="168" t="str">
        <x:v>H:I列</x:v>
      </x:c>
      <x:c r="C13" s="143" t="str">
        <x:v>结论为“待修改”时填写修改点；“不采纳”时填写不采纳原因。缺失内容会以浅红色提示。</x:v>
      </x:c>
    </x:row>
    <x:row r="14" ht="36" customHeight="1">
      <x:c r="A14" s="168" t="str">
        <x:v>方案评价统计</x:v>
      </x:c>
      <x:c r="B14" s="168" t="str">
        <x:v>方案评价统计!A4:B11</x:v>
      </x:c>
      <x:c r="C14" s="143" t="str">
        <x:v>按评价结论自动统计方案项总数、各结论数、待评价数和采纳率；采纳率=采纳数÷已评价数。</x:v>
      </x:c>
    </x:row>
  </x:sheetData>
  <x:pageMargins left="0.7" right="0.7" top="0.75" bottom="0.75" header="0.3" footer="0.3"/>
</x:worksheet>
</file>